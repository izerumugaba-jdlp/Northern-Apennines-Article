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lpizerumug\Documents\DOCS_msi\PhD@UniPau\ACADEMICS\python_phD\"/>
    </mc:Choice>
  </mc:AlternateContent>
  <xr:revisionPtr revIDLastSave="0" documentId="13_ncr:1_{1ECBB221-86E6-413C-B1E4-BC4B566D5046}" xr6:coauthVersionLast="36" xr6:coauthVersionMax="36" xr10:uidLastSave="{00000000-0000-0000-0000-000000000000}"/>
  <bookViews>
    <workbookView xWindow="0" yWindow="0" windowWidth="23040" windowHeight="9684" xr2:uid="{0D350E59-CEBA-4823-A305-FAEE91E01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" l="1"/>
  <c r="N14" i="1"/>
  <c r="N11" i="1"/>
  <c r="N9" i="1"/>
  <c r="N3" i="1"/>
</calcChain>
</file>

<file path=xl/sharedStrings.xml><?xml version="1.0" encoding="utf-8"?>
<sst xmlns="http://schemas.openxmlformats.org/spreadsheetml/2006/main" count="107" uniqueCount="52">
  <si>
    <t>Volcanic district</t>
  </si>
  <si>
    <t>Sample</t>
  </si>
  <si>
    <t>Location'N</t>
  </si>
  <si>
    <t>Latitude</t>
  </si>
  <si>
    <t>Location'E</t>
  </si>
  <si>
    <t>Longitude</t>
  </si>
  <si>
    <t>SiO2 
(%)</t>
  </si>
  <si>
    <t>MgO 
(%)</t>
  </si>
  <si>
    <t>Mg#</t>
  </si>
  <si>
    <t>Phase</t>
  </si>
  <si>
    <t>Weight 
(g)</t>
  </si>
  <si>
    <t>R/Ra</t>
  </si>
  <si>
    <t>R/Ra
average</t>
  </si>
  <si>
    <t>error 
(R/Ra)</t>
  </si>
  <si>
    <r>
      <t>[He]
(10</t>
    </r>
    <r>
      <rPr>
        <b/>
        <vertAlign val="superscript"/>
        <sz val="10"/>
        <color rgb="FF000000"/>
        <rFont val="Calibri"/>
        <family val="2"/>
        <scheme val="minor"/>
      </rPr>
      <t>-9</t>
    </r>
    <r>
      <rPr>
        <b/>
        <sz val="10"/>
        <color rgb="FF000000"/>
        <rFont val="Calibri"/>
        <family val="2"/>
        <scheme val="minor"/>
      </rPr>
      <t>cm3STP/g)</t>
    </r>
  </si>
  <si>
    <t>Error[He]: ±1σ
(10-9cm3STP/g)</t>
  </si>
  <si>
    <t>Lab</t>
  </si>
  <si>
    <t>87Sr/86Sr</t>
  </si>
  <si>
    <t>87Sr/86Sr
average</t>
  </si>
  <si>
    <t>Error
87Sr/86Sr</t>
  </si>
  <si>
    <t>Vesuvius, 1944</t>
  </si>
  <si>
    <t>Ves</t>
  </si>
  <si>
    <t>n.a</t>
  </si>
  <si>
    <t>Lava</t>
  </si>
  <si>
    <t>cpx</t>
  </si>
  <si>
    <t>SUERC</t>
  </si>
  <si>
    <t>4a</t>
  </si>
  <si>
    <t>Flegrean Fields</t>
  </si>
  <si>
    <t>F1</t>
  </si>
  <si>
    <t>ol</t>
  </si>
  <si>
    <t>MU</t>
  </si>
  <si>
    <t>20WR</t>
  </si>
  <si>
    <t>F2</t>
  </si>
  <si>
    <t>Pyroc</t>
  </si>
  <si>
    <t>n.a.</t>
  </si>
  <si>
    <t>23Cpx</t>
  </si>
  <si>
    <t>F3</t>
  </si>
  <si>
    <t>F4</t>
  </si>
  <si>
    <t>0.70756b</t>
  </si>
  <si>
    <t>1WR</t>
  </si>
  <si>
    <t>Procida Island</t>
  </si>
  <si>
    <t>P1</t>
  </si>
  <si>
    <t>18WR</t>
  </si>
  <si>
    <t>Roccamonfina</t>
  </si>
  <si>
    <t>R1</t>
  </si>
  <si>
    <t>20Cpx</t>
  </si>
  <si>
    <t>R2</t>
  </si>
  <si>
    <t>21Cpx</t>
  </si>
  <si>
    <t>Ischia Island</t>
  </si>
  <si>
    <t>I1</t>
  </si>
  <si>
    <t>17WR</t>
  </si>
  <si>
    <t>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</si>
</sst>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vertAlign val="superscript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165" fontId="3" fillId="0" borderId="0" xfId="0" applyNumberFormat="1" applyFont="1" applyFill="1" applyBorder="1" applyAlignment="1">
      <alignment horizontal="right" vertical="top"/>
    </xf>
    <xf numFmtId="0" fontId="0" fillId="0" borderId="0" xfId="0" applyFill="1" applyBorder="1" applyAlignment="1">
      <alignment horizontal="left" vertical="top"/>
    </xf>
    <xf numFmtId="165" fontId="3" fillId="0" borderId="0" xfId="0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 vertical="center" wrapText="1"/>
    </xf>
    <xf numFmtId="164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EC63-61B5-4FFD-A26C-8D7B9C1C8B8A}">
  <dimension ref="A1:U17"/>
  <sheetViews>
    <sheetView tabSelected="1" workbookViewId="0">
      <selection activeCell="A23" sqref="A23"/>
    </sheetView>
  </sheetViews>
  <sheetFormatPr defaultRowHeight="14.4" x14ac:dyDescent="0.3"/>
  <cols>
    <col min="1" max="1" width="13.44140625" bestFit="1" customWidth="1"/>
    <col min="4" max="6" width="12" bestFit="1" customWidth="1"/>
    <col min="10" max="10" width="5" bestFit="1" customWidth="1"/>
    <col min="16" max="16" width="16.44140625" customWidth="1"/>
    <col min="17" max="17" width="15" customWidth="1"/>
    <col min="21" max="21" width="9.5546875" customWidth="1"/>
  </cols>
  <sheetData>
    <row r="1" spans="1:21" s="3" customFormat="1" ht="28.8" x14ac:dyDescent="0.3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/>
      <c r="H1" s="2" t="s">
        <v>6</v>
      </c>
      <c r="I1" s="2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9" t="s">
        <v>12</v>
      </c>
      <c r="O1" s="2" t="s">
        <v>13</v>
      </c>
      <c r="P1" s="2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2" t="s">
        <v>19</v>
      </c>
    </row>
    <row r="2" spans="1:21" s="7" customFormat="1" x14ac:dyDescent="0.3">
      <c r="A2" s="4" t="s">
        <v>20</v>
      </c>
      <c r="B2" s="4" t="s">
        <v>21</v>
      </c>
      <c r="C2" s="5"/>
      <c r="D2" s="13" t="s">
        <v>22</v>
      </c>
      <c r="E2" s="5"/>
      <c r="F2" s="13" t="s">
        <v>22</v>
      </c>
      <c r="G2" s="4" t="s">
        <v>23</v>
      </c>
      <c r="H2" s="4">
        <v>48.1</v>
      </c>
      <c r="I2" s="4">
        <v>3.7</v>
      </c>
      <c r="J2" s="4">
        <v>49</v>
      </c>
      <c r="K2" s="4" t="s">
        <v>24</v>
      </c>
      <c r="L2" s="4">
        <v>1.43</v>
      </c>
      <c r="M2" s="4">
        <v>2.48</v>
      </c>
      <c r="N2" s="10"/>
      <c r="O2" s="4">
        <v>0.09</v>
      </c>
      <c r="P2" s="4">
        <v>15</v>
      </c>
      <c r="Q2" s="4">
        <v>0.1</v>
      </c>
      <c r="R2" s="4" t="s">
        <v>25</v>
      </c>
      <c r="S2" s="4">
        <v>0.70718000000000003</v>
      </c>
      <c r="T2" s="6">
        <v>0.70718000000000003</v>
      </c>
      <c r="U2" s="4" t="s">
        <v>26</v>
      </c>
    </row>
    <row r="3" spans="1:21" s="7" customFormat="1" x14ac:dyDescent="0.3">
      <c r="A3" s="4" t="s">
        <v>27</v>
      </c>
      <c r="B3" s="4" t="s">
        <v>28</v>
      </c>
      <c r="C3" s="5">
        <v>40.87638888888889</v>
      </c>
      <c r="D3" s="14">
        <v>40.87638888888889</v>
      </c>
      <c r="E3" s="5">
        <v>14.220555555555555</v>
      </c>
      <c r="F3" s="14">
        <v>14.220555555555555</v>
      </c>
      <c r="G3" s="4" t="s">
        <v>23</v>
      </c>
      <c r="H3" s="4">
        <v>51.5</v>
      </c>
      <c r="I3" s="4">
        <v>4.9000000000000004</v>
      </c>
      <c r="J3" s="4">
        <v>57.2</v>
      </c>
      <c r="K3" s="4" t="s">
        <v>29</v>
      </c>
      <c r="L3" s="4">
        <v>1.08</v>
      </c>
      <c r="M3" s="4">
        <v>3.02</v>
      </c>
      <c r="N3" s="11">
        <f>AVERAGE(M3:M5)</f>
        <v>2.8933333333333331</v>
      </c>
      <c r="O3" s="4">
        <v>0.1</v>
      </c>
      <c r="P3" s="4">
        <v>20.5</v>
      </c>
      <c r="Q3" s="4">
        <v>0.1</v>
      </c>
      <c r="R3" s="4" t="s">
        <v>30</v>
      </c>
      <c r="S3" s="4">
        <v>0.70780799999999999</v>
      </c>
      <c r="T3" s="8">
        <v>0.70780799999999999</v>
      </c>
      <c r="U3" s="4" t="s">
        <v>31</v>
      </c>
    </row>
    <row r="4" spans="1:21" s="7" customFormat="1" x14ac:dyDescent="0.3">
      <c r="A4" s="4"/>
      <c r="B4" s="4"/>
      <c r="C4" s="5"/>
      <c r="D4" s="14"/>
      <c r="E4" s="5"/>
      <c r="F4" s="14"/>
      <c r="G4" s="4"/>
      <c r="H4" s="4"/>
      <c r="I4" s="4"/>
      <c r="J4" s="4"/>
      <c r="K4" s="4" t="s">
        <v>29</v>
      </c>
      <c r="L4" s="4">
        <v>0.67</v>
      </c>
      <c r="M4" s="4">
        <v>2.82</v>
      </c>
      <c r="N4" s="11"/>
      <c r="O4" s="4">
        <v>0.16</v>
      </c>
      <c r="P4" s="4">
        <v>14.1</v>
      </c>
      <c r="Q4" s="4">
        <v>0.1</v>
      </c>
      <c r="R4" s="4" t="s">
        <v>25</v>
      </c>
      <c r="S4" s="4"/>
      <c r="T4" s="8"/>
      <c r="U4" s="4"/>
    </row>
    <row r="5" spans="1:21" s="7" customFormat="1" x14ac:dyDescent="0.3">
      <c r="A5" s="4"/>
      <c r="B5" s="4"/>
      <c r="C5" s="5"/>
      <c r="D5" s="14"/>
      <c r="E5" s="5"/>
      <c r="F5" s="14"/>
      <c r="G5" s="4"/>
      <c r="H5" s="4"/>
      <c r="I5" s="4"/>
      <c r="J5" s="4"/>
      <c r="K5" s="4" t="s">
        <v>24</v>
      </c>
      <c r="L5" s="4">
        <v>0.86</v>
      </c>
      <c r="M5" s="4">
        <v>2.84</v>
      </c>
      <c r="N5" s="11"/>
      <c r="O5" s="4">
        <v>0.12</v>
      </c>
      <c r="P5" s="4">
        <v>23</v>
      </c>
      <c r="Q5" s="4">
        <v>0.1</v>
      </c>
      <c r="R5" s="4" t="s">
        <v>25</v>
      </c>
      <c r="S5" s="4"/>
      <c r="T5" s="8"/>
      <c r="U5" s="4"/>
    </row>
    <row r="6" spans="1:21" s="7" customFormat="1" x14ac:dyDescent="0.3">
      <c r="A6" s="4" t="s">
        <v>27</v>
      </c>
      <c r="B6" s="4" t="s">
        <v>32</v>
      </c>
      <c r="C6" s="5">
        <v>41.177499999999995</v>
      </c>
      <c r="D6" s="13">
        <v>41.177499999999995</v>
      </c>
      <c r="E6" s="5">
        <v>14.370833333333334</v>
      </c>
      <c r="F6" s="13">
        <v>14.370833333333334</v>
      </c>
      <c r="G6" s="4" t="s">
        <v>33</v>
      </c>
      <c r="H6" s="4" t="s">
        <v>34</v>
      </c>
      <c r="I6" s="4" t="s">
        <v>34</v>
      </c>
      <c r="J6" s="4" t="s">
        <v>34</v>
      </c>
      <c r="K6" s="4" t="s">
        <v>24</v>
      </c>
      <c r="L6" s="4">
        <v>1.33</v>
      </c>
      <c r="M6" s="4">
        <v>2.7</v>
      </c>
      <c r="N6" s="10">
        <v>2.7</v>
      </c>
      <c r="O6" s="4">
        <v>0.09</v>
      </c>
      <c r="P6" s="4">
        <v>23</v>
      </c>
      <c r="Q6" s="4">
        <v>0.1</v>
      </c>
      <c r="R6" s="4" t="s">
        <v>25</v>
      </c>
      <c r="S6" s="4">
        <v>0.707341</v>
      </c>
      <c r="T6" s="6">
        <v>0.707341</v>
      </c>
      <c r="U6" s="4" t="s">
        <v>35</v>
      </c>
    </row>
    <row r="7" spans="1:21" s="7" customFormat="1" x14ac:dyDescent="0.3">
      <c r="A7" s="4" t="s">
        <v>27</v>
      </c>
      <c r="B7" s="4" t="s">
        <v>36</v>
      </c>
      <c r="C7" s="5">
        <v>41.366666666666667</v>
      </c>
      <c r="D7" s="13">
        <v>41.366666666666667</v>
      </c>
      <c r="E7" s="5">
        <v>14.333611111111111</v>
      </c>
      <c r="F7" s="13">
        <v>14.333611111111111</v>
      </c>
      <c r="G7" s="4" t="s">
        <v>33</v>
      </c>
      <c r="H7" s="4" t="s">
        <v>34</v>
      </c>
      <c r="I7" s="4" t="s">
        <v>34</v>
      </c>
      <c r="J7" s="4" t="s">
        <v>34</v>
      </c>
      <c r="K7" s="4" t="s">
        <v>24</v>
      </c>
      <c r="L7" s="4">
        <v>1.03</v>
      </c>
      <c r="M7" s="4">
        <v>2.85</v>
      </c>
      <c r="N7" s="10">
        <v>2.85</v>
      </c>
      <c r="O7" s="4">
        <v>0.1</v>
      </c>
      <c r="P7" s="4">
        <v>13.4</v>
      </c>
      <c r="Q7" s="4">
        <v>0.4</v>
      </c>
      <c r="R7" s="4" t="s">
        <v>25</v>
      </c>
      <c r="S7" s="4">
        <v>0.70722499999999999</v>
      </c>
      <c r="T7" s="6">
        <v>0.70722499999999999</v>
      </c>
      <c r="U7" s="4" t="s">
        <v>35</v>
      </c>
    </row>
    <row r="8" spans="1:21" s="7" customFormat="1" x14ac:dyDescent="0.3">
      <c r="A8" s="4" t="s">
        <v>27</v>
      </c>
      <c r="B8" s="4" t="s">
        <v>37</v>
      </c>
      <c r="C8" s="5">
        <v>40.990555555555552</v>
      </c>
      <c r="D8" s="13">
        <v>40.990555555555552</v>
      </c>
      <c r="E8" s="5">
        <v>14.192222222222222</v>
      </c>
      <c r="F8" s="13">
        <v>14.192222222222222</v>
      </c>
      <c r="G8" s="4" t="s">
        <v>33</v>
      </c>
      <c r="H8" s="4" t="s">
        <v>34</v>
      </c>
      <c r="I8" s="4" t="s">
        <v>34</v>
      </c>
      <c r="J8" s="4" t="s">
        <v>34</v>
      </c>
      <c r="K8" s="4" t="s">
        <v>24</v>
      </c>
      <c r="L8" s="4">
        <v>0.53</v>
      </c>
      <c r="M8" s="4">
        <v>2.5299999999999998</v>
      </c>
      <c r="N8" s="10">
        <v>2.5299999999999998</v>
      </c>
      <c r="O8" s="4">
        <v>0.16</v>
      </c>
      <c r="P8" s="4">
        <v>15</v>
      </c>
      <c r="Q8" s="4">
        <v>0.4</v>
      </c>
      <c r="R8" s="4" t="s">
        <v>25</v>
      </c>
      <c r="S8" s="4" t="s">
        <v>38</v>
      </c>
      <c r="T8" s="6">
        <v>0.70755999999999997</v>
      </c>
      <c r="U8" s="4" t="s">
        <v>39</v>
      </c>
    </row>
    <row r="9" spans="1:21" s="7" customFormat="1" x14ac:dyDescent="0.3">
      <c r="A9" s="4" t="s">
        <v>40</v>
      </c>
      <c r="B9" s="4" t="s">
        <v>41</v>
      </c>
      <c r="C9" s="5">
        <v>40.836944444444448</v>
      </c>
      <c r="D9" s="14">
        <v>40.836944444444448</v>
      </c>
      <c r="E9" s="5">
        <v>14.017777777777779</v>
      </c>
      <c r="F9" s="14">
        <v>14.017777777777779</v>
      </c>
      <c r="G9" s="4" t="s">
        <v>23</v>
      </c>
      <c r="H9" s="4">
        <v>46.7</v>
      </c>
      <c r="I9" s="4">
        <v>11.9</v>
      </c>
      <c r="J9" s="4">
        <v>70.900000000000006</v>
      </c>
      <c r="K9" s="4" t="s">
        <v>29</v>
      </c>
      <c r="L9" s="4">
        <v>1.81</v>
      </c>
      <c r="M9" s="4">
        <v>4.76</v>
      </c>
      <c r="N9" s="11">
        <f>AVERAGE(M9:M10)</f>
        <v>4.9849999999999994</v>
      </c>
      <c r="O9" s="4">
        <v>0.14000000000000001</v>
      </c>
      <c r="P9" s="4">
        <v>69</v>
      </c>
      <c r="Q9" s="4">
        <v>0.4</v>
      </c>
      <c r="R9" s="4" t="s">
        <v>30</v>
      </c>
      <c r="S9" s="4">
        <v>0.70560100000000003</v>
      </c>
      <c r="T9" s="8">
        <v>0.70560100000000003</v>
      </c>
      <c r="U9" s="4" t="s">
        <v>42</v>
      </c>
    </row>
    <row r="10" spans="1:21" s="7" customFormat="1" x14ac:dyDescent="0.3">
      <c r="A10" s="4"/>
      <c r="B10" s="4"/>
      <c r="C10" s="5"/>
      <c r="D10" s="14"/>
      <c r="E10" s="5"/>
      <c r="F10" s="14"/>
      <c r="G10" s="4"/>
      <c r="H10" s="4"/>
      <c r="I10" s="4"/>
      <c r="J10" s="4"/>
      <c r="K10" s="4" t="s">
        <v>29</v>
      </c>
      <c r="L10" s="4">
        <v>0.46</v>
      </c>
      <c r="M10" s="4">
        <v>5.21</v>
      </c>
      <c r="N10" s="11"/>
      <c r="O10" s="4">
        <v>0.17</v>
      </c>
      <c r="P10" s="4">
        <v>64</v>
      </c>
      <c r="Q10" s="4">
        <v>0.4</v>
      </c>
      <c r="R10" s="4" t="s">
        <v>25</v>
      </c>
      <c r="S10" s="4"/>
      <c r="T10" s="8"/>
      <c r="U10" s="4"/>
    </row>
    <row r="11" spans="1:21" s="7" customFormat="1" x14ac:dyDescent="0.3">
      <c r="A11" s="4" t="s">
        <v>43</v>
      </c>
      <c r="B11" s="4" t="s">
        <v>44</v>
      </c>
      <c r="C11" s="5">
        <v>41.454722222222223</v>
      </c>
      <c r="D11" s="14">
        <v>41.454722222222223</v>
      </c>
      <c r="E11" s="5">
        <v>14.006666666666666</v>
      </c>
      <c r="F11" s="14">
        <v>14.006666666666666</v>
      </c>
      <c r="G11" s="4" t="s">
        <v>33</v>
      </c>
      <c r="H11" s="4" t="s">
        <v>34</v>
      </c>
      <c r="I11" s="4" t="s">
        <v>34</v>
      </c>
      <c r="J11" s="4" t="s">
        <v>34</v>
      </c>
      <c r="K11" s="4" t="s">
        <v>24</v>
      </c>
      <c r="L11" s="4">
        <v>1.17</v>
      </c>
      <c r="M11" s="4">
        <v>2.87</v>
      </c>
      <c r="N11" s="11">
        <f>AVERAGE(M11:M12)</f>
        <v>2.76</v>
      </c>
      <c r="O11" s="4">
        <v>0.2</v>
      </c>
      <c r="P11" s="4">
        <v>2.41</v>
      </c>
      <c r="Q11" s="4">
        <v>0.01</v>
      </c>
      <c r="R11" s="4" t="s">
        <v>25</v>
      </c>
      <c r="S11" s="4">
        <v>0.706654</v>
      </c>
      <c r="T11" s="8">
        <v>0.706654</v>
      </c>
      <c r="U11" s="4" t="s">
        <v>45</v>
      </c>
    </row>
    <row r="12" spans="1:21" s="7" customFormat="1" x14ac:dyDescent="0.3">
      <c r="A12" s="4"/>
      <c r="B12" s="4"/>
      <c r="C12" s="5"/>
      <c r="D12" s="14"/>
      <c r="E12" s="5"/>
      <c r="F12" s="14"/>
      <c r="G12" s="4"/>
      <c r="H12" s="4"/>
      <c r="I12" s="4"/>
      <c r="J12" s="4"/>
      <c r="K12" s="4" t="s">
        <v>29</v>
      </c>
      <c r="L12" s="4">
        <v>0.81</v>
      </c>
      <c r="M12" s="4">
        <v>2.65</v>
      </c>
      <c r="N12" s="11"/>
      <c r="O12" s="4">
        <v>0.42</v>
      </c>
      <c r="P12" s="4">
        <v>1.8</v>
      </c>
      <c r="Q12" s="4">
        <v>0.01</v>
      </c>
      <c r="R12" s="4" t="s">
        <v>25</v>
      </c>
      <c r="S12" s="4"/>
      <c r="T12" s="8"/>
      <c r="U12" s="4"/>
    </row>
    <row r="13" spans="1:21" s="7" customFormat="1" x14ac:dyDescent="0.3">
      <c r="A13" s="4" t="s">
        <v>43</v>
      </c>
      <c r="B13" s="4" t="s">
        <v>46</v>
      </c>
      <c r="C13" s="5">
        <v>41.368055555555557</v>
      </c>
      <c r="D13" s="13">
        <v>41.368055555555557</v>
      </c>
      <c r="E13" s="5">
        <v>14.046111111111111</v>
      </c>
      <c r="F13" s="13">
        <v>14.046111111111111</v>
      </c>
      <c r="G13" s="4" t="s">
        <v>23</v>
      </c>
      <c r="H13" s="4">
        <v>46.7</v>
      </c>
      <c r="I13" s="4">
        <v>7.3</v>
      </c>
      <c r="J13" s="4">
        <v>58.7</v>
      </c>
      <c r="K13" s="4" t="s">
        <v>24</v>
      </c>
      <c r="L13" s="4">
        <v>1.17</v>
      </c>
      <c r="M13" s="4">
        <v>2.12</v>
      </c>
      <c r="N13" s="10">
        <v>2.12</v>
      </c>
      <c r="O13" s="4">
        <v>0.09</v>
      </c>
      <c r="P13" s="4">
        <v>8.3000000000000007</v>
      </c>
      <c r="Q13" s="4">
        <v>0.1</v>
      </c>
      <c r="R13" s="4" t="s">
        <v>25</v>
      </c>
      <c r="S13" s="4">
        <v>0.70646299999999995</v>
      </c>
      <c r="T13" s="6">
        <v>0.70646299999999995</v>
      </c>
      <c r="U13" s="4" t="s">
        <v>47</v>
      </c>
    </row>
    <row r="14" spans="1:21" s="7" customFormat="1" x14ac:dyDescent="0.3">
      <c r="A14" s="4" t="s">
        <v>48</v>
      </c>
      <c r="B14" s="4" t="s">
        <v>49</v>
      </c>
      <c r="C14" s="5">
        <v>40.913888888888891</v>
      </c>
      <c r="D14" s="14">
        <v>40.913888888888891</v>
      </c>
      <c r="E14" s="5">
        <v>13.966111111111111</v>
      </c>
      <c r="F14" s="14">
        <v>13.966111111111111</v>
      </c>
      <c r="G14" s="4" t="s">
        <v>23</v>
      </c>
      <c r="H14" s="4">
        <v>57.2</v>
      </c>
      <c r="I14" s="4">
        <v>1.6</v>
      </c>
      <c r="J14" s="4">
        <v>39.799999999999997</v>
      </c>
      <c r="K14" s="4" t="s">
        <v>29</v>
      </c>
      <c r="L14" s="4">
        <v>1.35</v>
      </c>
      <c r="M14" s="4">
        <v>3.45</v>
      </c>
      <c r="N14" s="11">
        <f>AVERAGE(M14:M15)</f>
        <v>3.34</v>
      </c>
      <c r="O14" s="4">
        <v>0.1</v>
      </c>
      <c r="P14" s="4">
        <v>75</v>
      </c>
      <c r="Q14" s="4">
        <v>0.5</v>
      </c>
      <c r="R14" s="4" t="s">
        <v>30</v>
      </c>
      <c r="S14" s="4">
        <v>0.70650000000000002</v>
      </c>
      <c r="T14" s="8">
        <v>0.70650000000000002</v>
      </c>
      <c r="U14" s="4" t="s">
        <v>50</v>
      </c>
    </row>
    <row r="15" spans="1:21" s="7" customFormat="1" x14ac:dyDescent="0.3">
      <c r="A15" s="4"/>
      <c r="B15" s="4"/>
      <c r="C15" s="5"/>
      <c r="D15" s="14"/>
      <c r="E15" s="5"/>
      <c r="F15" s="14"/>
      <c r="G15" s="4"/>
      <c r="H15" s="4"/>
      <c r="I15" s="4"/>
      <c r="J15" s="4"/>
      <c r="K15" s="4" t="s">
        <v>24</v>
      </c>
      <c r="L15" s="4">
        <v>1.58</v>
      </c>
      <c r="M15" s="4">
        <v>3.23</v>
      </c>
      <c r="N15" s="11"/>
      <c r="O15" s="4">
        <v>0.09</v>
      </c>
      <c r="P15" s="4">
        <v>140</v>
      </c>
      <c r="Q15" s="4">
        <v>1</v>
      </c>
      <c r="R15" s="4" t="s">
        <v>30</v>
      </c>
      <c r="S15" s="4"/>
      <c r="T15" s="8"/>
      <c r="U15" s="4"/>
    </row>
    <row r="16" spans="1:21" s="7" customFormat="1" x14ac:dyDescent="0.3">
      <c r="A16" s="4" t="s">
        <v>48</v>
      </c>
      <c r="B16" s="4" t="s">
        <v>51</v>
      </c>
      <c r="C16" s="5">
        <v>40.954166666666673</v>
      </c>
      <c r="D16" s="14">
        <v>40.954166666666673</v>
      </c>
      <c r="E16" s="5">
        <v>13.944722222222222</v>
      </c>
      <c r="F16" s="14">
        <v>13.944722222222222</v>
      </c>
      <c r="G16" s="4" t="s">
        <v>23</v>
      </c>
      <c r="H16" s="4">
        <v>54.7</v>
      </c>
      <c r="I16" s="4">
        <v>2.6</v>
      </c>
      <c r="J16" s="4">
        <v>45.5</v>
      </c>
      <c r="K16" s="4" t="s">
        <v>29</v>
      </c>
      <c r="L16" s="4">
        <v>1.01</v>
      </c>
      <c r="M16" s="4">
        <v>3.36</v>
      </c>
      <c r="N16" s="11">
        <f>AVERAGE(M16:M17)</f>
        <v>3.38</v>
      </c>
      <c r="O16" s="4">
        <v>0.09</v>
      </c>
      <c r="P16" s="4">
        <v>53</v>
      </c>
      <c r="Q16" s="4">
        <v>0.4</v>
      </c>
      <c r="R16" s="4" t="s">
        <v>30</v>
      </c>
      <c r="S16" s="4">
        <v>0.70636200000000005</v>
      </c>
      <c r="T16" s="8">
        <v>0.70636200000000005</v>
      </c>
      <c r="U16" s="4" t="s">
        <v>42</v>
      </c>
    </row>
    <row r="17" spans="1:21" s="7" customFormat="1" x14ac:dyDescent="0.3">
      <c r="A17" s="4"/>
      <c r="B17" s="4"/>
      <c r="C17" s="5"/>
      <c r="D17" s="14"/>
      <c r="E17" s="5"/>
      <c r="F17" s="14"/>
      <c r="G17" s="4"/>
      <c r="H17" s="4"/>
      <c r="I17" s="4"/>
      <c r="J17" s="4"/>
      <c r="K17" s="4" t="s">
        <v>24</v>
      </c>
      <c r="L17" s="4">
        <v>0.82</v>
      </c>
      <c r="M17" s="4">
        <v>3.4</v>
      </c>
      <c r="N17" s="11"/>
      <c r="O17" s="4">
        <v>0.09</v>
      </c>
      <c r="P17" s="4">
        <v>79</v>
      </c>
      <c r="Q17" s="4">
        <v>0.6</v>
      </c>
      <c r="R17" s="4" t="s">
        <v>30</v>
      </c>
      <c r="S17" s="4"/>
      <c r="T17" s="8"/>
      <c r="U17" s="4"/>
    </row>
  </sheetData>
  <mergeCells count="20">
    <mergeCell ref="D3:D5"/>
    <mergeCell ref="F3:F5"/>
    <mergeCell ref="N3:N5"/>
    <mergeCell ref="T3:T5"/>
    <mergeCell ref="D9:D10"/>
    <mergeCell ref="F9:F10"/>
    <mergeCell ref="N9:N10"/>
    <mergeCell ref="T9:T10"/>
    <mergeCell ref="D16:D17"/>
    <mergeCell ref="F16:F17"/>
    <mergeCell ref="N16:N17"/>
    <mergeCell ref="T16:T17"/>
    <mergeCell ref="D11:D12"/>
    <mergeCell ref="F11:F12"/>
    <mergeCell ref="N11:N12"/>
    <mergeCell ref="T11:T12"/>
    <mergeCell ref="D14:D15"/>
    <mergeCell ref="F14:F15"/>
    <mergeCell ref="N14:N15"/>
    <mergeCell ref="T14:T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2023-10-05T21:54:21Z</dcterms:created>
  <dcterms:modified xsi:type="dcterms:W3CDTF">2024-03-21T11:02:01Z</dcterms:modified>
</cp:coreProperties>
</file>