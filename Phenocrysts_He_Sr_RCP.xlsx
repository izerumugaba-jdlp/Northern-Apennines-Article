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python_phD\"/>
    </mc:Choice>
  </mc:AlternateContent>
  <xr:revisionPtr revIDLastSave="0" documentId="13_ncr:1_{D8A86BC1-C55F-4BD0-9CCB-79626B003DC2}" xr6:coauthVersionLast="36" xr6:coauthVersionMax="36" xr10:uidLastSave="{00000000-0000-0000-0000-000000000000}"/>
  <bookViews>
    <workbookView xWindow="0" yWindow="0" windowWidth="23040" windowHeight="9684" xr2:uid="{F86A51D9-A063-4805-A696-317882CDF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" l="1"/>
  <c r="N8" i="1" l="1"/>
  <c r="N6" i="1"/>
  <c r="N4" i="1"/>
  <c r="N2" i="1"/>
</calcChain>
</file>

<file path=xl/sharedStrings.xml><?xml version="1.0" encoding="utf-8"?>
<sst xmlns="http://schemas.openxmlformats.org/spreadsheetml/2006/main" count="89" uniqueCount="41">
  <si>
    <t>Volcanic district</t>
  </si>
  <si>
    <t>Sample</t>
  </si>
  <si>
    <t>Location'N</t>
  </si>
  <si>
    <t>Latitude</t>
  </si>
  <si>
    <t>Location'E</t>
  </si>
  <si>
    <t>Longitude</t>
  </si>
  <si>
    <t>SiO2 
(%)</t>
  </si>
  <si>
    <t>MgO 
(%)</t>
  </si>
  <si>
    <t>Mg#</t>
  </si>
  <si>
    <t>Phase</t>
  </si>
  <si>
    <t>Weight 
(g)</t>
  </si>
  <si>
    <t>R/Ra</t>
  </si>
  <si>
    <t>R/Ra
average</t>
  </si>
  <si>
    <t>error 
(R/Ra)</t>
  </si>
  <si>
    <r>
      <t>[He]
(10</t>
    </r>
    <r>
      <rPr>
        <b/>
        <vertAlign val="superscript"/>
        <sz val="10"/>
        <color rgb="FF000000"/>
        <rFont val="Calibri"/>
        <family val="2"/>
        <scheme val="minor"/>
      </rPr>
      <t>-9</t>
    </r>
    <r>
      <rPr>
        <b/>
        <sz val="10"/>
        <color rgb="FF000000"/>
        <rFont val="Calibri"/>
        <family val="2"/>
        <scheme val="minor"/>
      </rPr>
      <t>cm3STP/g)</t>
    </r>
  </si>
  <si>
    <t>Error[He]: ±1σ
(10-9cm3STP/g)</t>
  </si>
  <si>
    <t>Lab</t>
  </si>
  <si>
    <t>87Sr/86Sr</t>
  </si>
  <si>
    <t>87Sr/86Sr
average</t>
  </si>
  <si>
    <t>Error
87Sr/86Sr</t>
  </si>
  <si>
    <t>Alban Hills</t>
  </si>
  <si>
    <t>A1</t>
  </si>
  <si>
    <t>Pyroc</t>
  </si>
  <si>
    <t>n.a.</t>
  </si>
  <si>
    <t>ol</t>
  </si>
  <si>
    <t>MU</t>
  </si>
  <si>
    <t>17Cpx</t>
  </si>
  <si>
    <t>cpx</t>
  </si>
  <si>
    <t>A2</t>
  </si>
  <si>
    <t>Lava</t>
  </si>
  <si>
    <t>17WR</t>
  </si>
  <si>
    <t>Mt. Vulsini</t>
  </si>
  <si>
    <t>V1</t>
  </si>
  <si>
    <t>21Cpx</t>
  </si>
  <si>
    <t>V2</t>
  </si>
  <si>
    <t>V3</t>
  </si>
  <si>
    <t>V4</t>
  </si>
  <si>
    <t>18WR</t>
  </si>
  <si>
    <t>V5</t>
  </si>
  <si>
    <t>n.a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</si>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</sst>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top"/>
    </xf>
    <xf numFmtId="166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47FA-9830-40A1-AE46-1068C928B40E}">
  <dimension ref="A1:U14"/>
  <sheetViews>
    <sheetView tabSelected="1" workbookViewId="0">
      <selection activeCell="M19" sqref="M19"/>
    </sheetView>
  </sheetViews>
  <sheetFormatPr defaultRowHeight="14.4" x14ac:dyDescent="0.3"/>
  <cols>
    <col min="1" max="1" width="13.44140625" bestFit="1" customWidth="1"/>
    <col min="2" max="2" width="6.77734375" bestFit="1" customWidth="1"/>
    <col min="3" max="4" width="12" bestFit="1" customWidth="1"/>
    <col min="7" max="7" width="6.77734375" customWidth="1"/>
    <col min="11" max="11" width="5.6640625" bestFit="1" customWidth="1"/>
    <col min="12" max="12" width="6.6640625" bestFit="1" customWidth="1"/>
    <col min="13" max="13" width="6" customWidth="1"/>
    <col min="16" max="16" width="16.21875" customWidth="1"/>
    <col min="17" max="17" width="17.21875" customWidth="1"/>
    <col min="20" max="20" width="17.77734375" customWidth="1"/>
    <col min="21" max="21" width="11.44140625" customWidth="1"/>
  </cols>
  <sheetData>
    <row r="1" spans="1:21" s="1" customFormat="1" ht="28.8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/>
      <c r="H1" s="5" t="s">
        <v>6</v>
      </c>
      <c r="I1" s="5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14" t="s">
        <v>12</v>
      </c>
      <c r="O1" s="5" t="s">
        <v>13</v>
      </c>
      <c r="P1" s="5" t="s">
        <v>14</v>
      </c>
      <c r="Q1" s="5" t="s">
        <v>15</v>
      </c>
      <c r="R1" s="3" t="s">
        <v>16</v>
      </c>
      <c r="S1" s="3" t="s">
        <v>17</v>
      </c>
      <c r="T1" s="5" t="s">
        <v>18</v>
      </c>
      <c r="U1" s="5" t="s">
        <v>19</v>
      </c>
    </row>
    <row r="2" spans="1:21" s="2" customFormat="1" x14ac:dyDescent="0.3">
      <c r="A2" s="6" t="s">
        <v>20</v>
      </c>
      <c r="B2" s="6" t="s">
        <v>21</v>
      </c>
      <c r="C2" s="7">
        <v>41.986388888888889</v>
      </c>
      <c r="D2" s="8">
        <v>41.986388888888889</v>
      </c>
      <c r="E2" s="7">
        <v>12.853333333333332</v>
      </c>
      <c r="F2" s="8">
        <v>12.853333333333332</v>
      </c>
      <c r="G2" s="6" t="s">
        <v>22</v>
      </c>
      <c r="H2" s="6" t="s">
        <v>23</v>
      </c>
      <c r="I2" s="6" t="s">
        <v>23</v>
      </c>
      <c r="J2" s="6" t="s">
        <v>23</v>
      </c>
      <c r="K2" s="6" t="s">
        <v>24</v>
      </c>
      <c r="L2" s="6">
        <v>2.2200000000000002</v>
      </c>
      <c r="M2" s="6">
        <v>1.37</v>
      </c>
      <c r="N2" s="12">
        <f>AVERAGE(M2:M3)</f>
        <v>1.55</v>
      </c>
      <c r="O2" s="6">
        <v>0.25</v>
      </c>
      <c r="P2" s="6">
        <v>0.53</v>
      </c>
      <c r="Q2" s="6">
        <v>0.01</v>
      </c>
      <c r="R2" s="6" t="s">
        <v>25</v>
      </c>
      <c r="S2" s="6">
        <v>0.70951399999999998</v>
      </c>
      <c r="T2" s="9">
        <v>0.70951399999999998</v>
      </c>
      <c r="U2" s="6" t="s">
        <v>26</v>
      </c>
    </row>
    <row r="3" spans="1:21" s="2" customFormat="1" x14ac:dyDescent="0.3">
      <c r="A3" s="6"/>
      <c r="B3" s="6"/>
      <c r="C3" s="7"/>
      <c r="D3" s="8"/>
      <c r="E3" s="7"/>
      <c r="F3" s="8"/>
      <c r="G3" s="6"/>
      <c r="H3" s="6"/>
      <c r="I3" s="6"/>
      <c r="J3" s="6"/>
      <c r="K3" s="6" t="s">
        <v>27</v>
      </c>
      <c r="L3" s="6">
        <v>2.2400000000000002</v>
      </c>
      <c r="M3" s="6">
        <v>1.73</v>
      </c>
      <c r="N3" s="12"/>
      <c r="O3" s="6">
        <v>0.14000000000000001</v>
      </c>
      <c r="P3" s="6">
        <v>1.8</v>
      </c>
      <c r="Q3" s="6">
        <v>0.01</v>
      </c>
      <c r="R3" s="6" t="s">
        <v>25</v>
      </c>
      <c r="S3" s="6"/>
      <c r="T3" s="9"/>
      <c r="U3" s="6"/>
    </row>
    <row r="4" spans="1:21" s="2" customFormat="1" x14ac:dyDescent="0.3">
      <c r="A4" s="6" t="s">
        <v>20</v>
      </c>
      <c r="B4" s="6" t="s">
        <v>28</v>
      </c>
      <c r="C4" s="7">
        <v>41.981388888888887</v>
      </c>
      <c r="D4" s="8">
        <v>41.981388888888887</v>
      </c>
      <c r="E4" s="7">
        <v>12.693333333333333</v>
      </c>
      <c r="F4" s="8">
        <v>12.693333333333333</v>
      </c>
      <c r="G4" s="6" t="s">
        <v>29</v>
      </c>
      <c r="H4" s="6">
        <v>48.1</v>
      </c>
      <c r="I4" s="6">
        <v>6.9</v>
      </c>
      <c r="J4" s="6">
        <v>61.4</v>
      </c>
      <c r="K4" s="6" t="s">
        <v>24</v>
      </c>
      <c r="L4" s="6">
        <v>1.71</v>
      </c>
      <c r="M4" s="6">
        <v>1.17</v>
      </c>
      <c r="N4" s="12">
        <f>AVERAGE(M4:M5)</f>
        <v>0.80499999999999994</v>
      </c>
      <c r="O4" s="6">
        <v>0.13</v>
      </c>
      <c r="P4" s="6">
        <v>1.4</v>
      </c>
      <c r="Q4" s="6">
        <v>0.01</v>
      </c>
      <c r="R4" s="6" t="s">
        <v>25</v>
      </c>
      <c r="S4" s="6">
        <v>0.710476</v>
      </c>
      <c r="T4" s="9">
        <v>0.710476</v>
      </c>
      <c r="U4" s="6" t="s">
        <v>30</v>
      </c>
    </row>
    <row r="5" spans="1:21" s="2" customFormat="1" x14ac:dyDescent="0.3">
      <c r="A5" s="6"/>
      <c r="B5" s="6"/>
      <c r="C5" s="7"/>
      <c r="D5" s="8"/>
      <c r="E5" s="7"/>
      <c r="F5" s="8"/>
      <c r="G5" s="6"/>
      <c r="H5" s="6"/>
      <c r="I5" s="6"/>
      <c r="J5" s="6"/>
      <c r="K5" s="6" t="s">
        <v>27</v>
      </c>
      <c r="L5" s="6">
        <v>1.69</v>
      </c>
      <c r="M5" s="6">
        <v>0.44</v>
      </c>
      <c r="N5" s="12"/>
      <c r="O5" s="6">
        <v>0.03</v>
      </c>
      <c r="P5" s="6">
        <v>5.5</v>
      </c>
      <c r="Q5" s="6">
        <v>0.02</v>
      </c>
      <c r="R5" s="6" t="s">
        <v>25</v>
      </c>
      <c r="S5" s="6"/>
      <c r="T5" s="9"/>
      <c r="U5" s="6"/>
    </row>
    <row r="6" spans="1:21" s="2" customFormat="1" x14ac:dyDescent="0.3">
      <c r="A6" s="6" t="s">
        <v>31</v>
      </c>
      <c r="B6" s="6" t="s">
        <v>32</v>
      </c>
      <c r="C6" s="7">
        <v>42.738055555555555</v>
      </c>
      <c r="D6" s="8">
        <v>42.738055555555555</v>
      </c>
      <c r="E6" s="7">
        <v>12.163055555555557</v>
      </c>
      <c r="F6" s="8">
        <v>12.163055555555557</v>
      </c>
      <c r="G6" s="6" t="s">
        <v>22</v>
      </c>
      <c r="H6" s="6" t="s">
        <v>23</v>
      </c>
      <c r="I6" s="6" t="s">
        <v>23</v>
      </c>
      <c r="J6" s="6" t="s">
        <v>23</v>
      </c>
      <c r="K6" s="6" t="s">
        <v>24</v>
      </c>
      <c r="L6" s="6">
        <v>1.1499999999999999</v>
      </c>
      <c r="M6" s="6">
        <v>0.63</v>
      </c>
      <c r="N6" s="12">
        <f>AVERAGE(M6:M7)</f>
        <v>0.625</v>
      </c>
      <c r="O6" s="6">
        <v>0.06</v>
      </c>
      <c r="P6" s="6">
        <v>2.6</v>
      </c>
      <c r="Q6" s="6">
        <v>0.04</v>
      </c>
      <c r="R6" s="6" t="s">
        <v>25</v>
      </c>
      <c r="S6" s="6">
        <v>0.71048299999999998</v>
      </c>
      <c r="T6" s="9">
        <v>0.71048299999999998</v>
      </c>
      <c r="U6" s="6" t="s">
        <v>33</v>
      </c>
    </row>
    <row r="7" spans="1:21" s="2" customFormat="1" x14ac:dyDescent="0.3">
      <c r="A7" s="6"/>
      <c r="B7" s="6"/>
      <c r="C7" s="7"/>
      <c r="D7" s="8"/>
      <c r="E7" s="7"/>
      <c r="F7" s="8"/>
      <c r="G7" s="6"/>
      <c r="H7" s="6"/>
      <c r="I7" s="6"/>
      <c r="J7" s="6"/>
      <c r="K7" s="6" t="s">
        <v>27</v>
      </c>
      <c r="L7" s="6">
        <v>2.04</v>
      </c>
      <c r="M7" s="6">
        <v>0.62</v>
      </c>
      <c r="N7" s="12"/>
      <c r="O7" s="6">
        <v>0.05</v>
      </c>
      <c r="P7" s="6">
        <v>5.6</v>
      </c>
      <c r="Q7" s="6">
        <v>0.03</v>
      </c>
      <c r="R7" s="6" t="s">
        <v>25</v>
      </c>
      <c r="S7" s="6"/>
      <c r="T7" s="9"/>
      <c r="U7" s="6"/>
    </row>
    <row r="8" spans="1:21" s="2" customFormat="1" x14ac:dyDescent="0.3">
      <c r="A8" s="6" t="s">
        <v>31</v>
      </c>
      <c r="B8" s="6" t="s">
        <v>34</v>
      </c>
      <c r="C8" s="7">
        <v>42.484444444444442</v>
      </c>
      <c r="D8" s="8">
        <v>42.484444444444442</v>
      </c>
      <c r="E8" s="7">
        <v>12.045833333333333</v>
      </c>
      <c r="F8" s="8">
        <v>12.045833333333333</v>
      </c>
      <c r="G8" s="6" t="s">
        <v>22</v>
      </c>
      <c r="H8" s="6" t="s">
        <v>23</v>
      </c>
      <c r="I8" s="6" t="s">
        <v>23</v>
      </c>
      <c r="J8" s="6" t="s">
        <v>23</v>
      </c>
      <c r="K8" s="6" t="s">
        <v>24</v>
      </c>
      <c r="L8" s="6">
        <v>1.71</v>
      </c>
      <c r="M8" s="6">
        <v>0.98</v>
      </c>
      <c r="N8" s="12">
        <f>AVERAGE(M8:M9)</f>
        <v>0.96</v>
      </c>
      <c r="O8" s="6">
        <v>0.34</v>
      </c>
      <c r="P8" s="6">
        <v>0.22</v>
      </c>
      <c r="Q8" s="6">
        <v>0.01</v>
      </c>
      <c r="R8" s="6" t="s">
        <v>25</v>
      </c>
      <c r="S8" s="6">
        <v>0.71044300000000005</v>
      </c>
      <c r="T8" s="9">
        <v>0.71044300000000005</v>
      </c>
      <c r="U8" s="6" t="s">
        <v>26</v>
      </c>
    </row>
    <row r="9" spans="1:21" s="2" customFormat="1" x14ac:dyDescent="0.3">
      <c r="A9" s="6"/>
      <c r="B9" s="6"/>
      <c r="C9" s="7"/>
      <c r="D9" s="8"/>
      <c r="E9" s="7"/>
      <c r="F9" s="8"/>
      <c r="G9" s="6"/>
      <c r="H9" s="6"/>
      <c r="I9" s="6"/>
      <c r="J9" s="6"/>
      <c r="K9" s="6" t="s">
        <v>27</v>
      </c>
      <c r="L9" s="6">
        <v>2.31</v>
      </c>
      <c r="M9" s="6">
        <v>0.94</v>
      </c>
      <c r="N9" s="12"/>
      <c r="O9" s="6">
        <v>0.03</v>
      </c>
      <c r="P9" s="6">
        <v>21</v>
      </c>
      <c r="Q9" s="6">
        <v>0.1</v>
      </c>
      <c r="R9" s="6" t="s">
        <v>25</v>
      </c>
      <c r="S9" s="6"/>
      <c r="T9" s="9"/>
      <c r="U9" s="6"/>
    </row>
    <row r="10" spans="1:21" s="2" customFormat="1" x14ac:dyDescent="0.3">
      <c r="A10" s="6" t="s">
        <v>31</v>
      </c>
      <c r="B10" s="6" t="s">
        <v>35</v>
      </c>
      <c r="C10" s="7">
        <v>42.539444444444442</v>
      </c>
      <c r="D10" s="10">
        <v>42.539444444444442</v>
      </c>
      <c r="E10" s="7">
        <v>12.228333333333333</v>
      </c>
      <c r="F10" s="10">
        <v>12.228333333333333</v>
      </c>
      <c r="G10" s="6" t="s">
        <v>29</v>
      </c>
      <c r="H10" s="6">
        <v>48.6</v>
      </c>
      <c r="I10" s="6">
        <v>6.8</v>
      </c>
      <c r="J10" s="6">
        <v>64.400000000000006</v>
      </c>
      <c r="K10" s="6" t="s">
        <v>24</v>
      </c>
      <c r="L10" s="6">
        <v>1.19</v>
      </c>
      <c r="M10" s="6">
        <v>0.79</v>
      </c>
      <c r="N10" s="13">
        <v>0.79</v>
      </c>
      <c r="O10" s="6">
        <v>7.0000000000000007E-2</v>
      </c>
      <c r="P10" s="6">
        <v>0.99</v>
      </c>
      <c r="Q10" s="6">
        <v>0.01</v>
      </c>
      <c r="R10" s="6" t="s">
        <v>25</v>
      </c>
      <c r="S10" s="6">
        <v>0.71043699999999999</v>
      </c>
      <c r="T10" s="11">
        <v>0.71043699999999999</v>
      </c>
      <c r="U10" s="6" t="s">
        <v>30</v>
      </c>
    </row>
    <row r="11" spans="1:21" s="2" customFormat="1" x14ac:dyDescent="0.3">
      <c r="A11" s="6" t="s">
        <v>31</v>
      </c>
      <c r="B11" s="6" t="s">
        <v>36</v>
      </c>
      <c r="C11" s="7">
        <v>42.680555555555557</v>
      </c>
      <c r="D11" s="10">
        <v>42.680555555555557</v>
      </c>
      <c r="E11" s="7">
        <v>12.15111111111111</v>
      </c>
      <c r="F11" s="10">
        <v>12.15111111111111</v>
      </c>
      <c r="G11" s="6" t="s">
        <v>29</v>
      </c>
      <c r="H11" s="6">
        <v>49.2</v>
      </c>
      <c r="I11" s="6">
        <v>7.2</v>
      </c>
      <c r="J11" s="6">
        <v>68.900000000000006</v>
      </c>
      <c r="K11" s="6" t="s">
        <v>24</v>
      </c>
      <c r="L11" s="6">
        <v>1.31</v>
      </c>
      <c r="M11" s="6">
        <v>0.75</v>
      </c>
      <c r="N11" s="13">
        <v>0.75</v>
      </c>
      <c r="O11" s="6">
        <v>0.16</v>
      </c>
      <c r="P11" s="6">
        <v>0.62</v>
      </c>
      <c r="Q11" s="6">
        <v>0.01</v>
      </c>
      <c r="R11" s="6" t="s">
        <v>25</v>
      </c>
      <c r="S11" s="6">
        <v>0.71031100000000003</v>
      </c>
      <c r="T11" s="11">
        <v>0.71031100000000003</v>
      </c>
      <c r="U11" s="6" t="s">
        <v>37</v>
      </c>
    </row>
    <row r="12" spans="1:21" s="2" customFormat="1" x14ac:dyDescent="0.3">
      <c r="A12" s="6" t="s">
        <v>31</v>
      </c>
      <c r="B12" s="6" t="s">
        <v>38</v>
      </c>
      <c r="C12" s="7"/>
      <c r="D12" s="10" t="s">
        <v>39</v>
      </c>
      <c r="E12" s="7"/>
      <c r="F12" s="10" t="s">
        <v>39</v>
      </c>
      <c r="G12" s="6" t="s">
        <v>29</v>
      </c>
      <c r="H12" s="6">
        <v>48.3</v>
      </c>
      <c r="I12" s="6">
        <v>5.2</v>
      </c>
      <c r="J12" s="6">
        <v>58.2</v>
      </c>
      <c r="K12" s="6" t="s">
        <v>27</v>
      </c>
      <c r="L12" s="6">
        <v>1.1299999999999999</v>
      </c>
      <c r="M12" s="6">
        <v>0.87</v>
      </c>
      <c r="N12" s="13">
        <v>0.87</v>
      </c>
      <c r="O12" s="6">
        <v>0.24</v>
      </c>
      <c r="P12" s="6">
        <v>0.61</v>
      </c>
      <c r="Q12" s="6">
        <v>0.01</v>
      </c>
      <c r="R12" s="6" t="s">
        <v>25</v>
      </c>
      <c r="S12" s="6">
        <v>0.71059499999999998</v>
      </c>
      <c r="T12" s="11">
        <v>0.71059499999999998</v>
      </c>
      <c r="U12" s="6" t="s">
        <v>30</v>
      </c>
    </row>
    <row r="13" spans="1:21" s="2" customFormat="1" x14ac:dyDescent="0.3">
      <c r="A13" s="6" t="s">
        <v>31</v>
      </c>
      <c r="B13" s="6" t="s">
        <v>40</v>
      </c>
      <c r="C13" s="7">
        <v>42.699999999999996</v>
      </c>
      <c r="D13" s="8">
        <v>42.699999999999996</v>
      </c>
      <c r="E13" s="7">
        <v>11.844722222222222</v>
      </c>
      <c r="F13" s="8">
        <v>11.844722222222222</v>
      </c>
      <c r="G13" s="6" t="s">
        <v>29</v>
      </c>
      <c r="H13" s="6">
        <v>54.1</v>
      </c>
      <c r="I13" s="6">
        <v>4.4000000000000004</v>
      </c>
      <c r="J13" s="6">
        <v>60.1</v>
      </c>
      <c r="K13" s="6" t="s">
        <v>24</v>
      </c>
      <c r="L13" s="6">
        <v>0.93</v>
      </c>
      <c r="M13" s="6">
        <v>1.06</v>
      </c>
      <c r="N13" s="12">
        <f>AVERAGE(M13:M14)</f>
        <v>1.095</v>
      </c>
      <c r="O13" s="6">
        <v>0.36</v>
      </c>
      <c r="P13" s="6">
        <v>0.99</v>
      </c>
      <c r="Q13" s="6">
        <v>0.01</v>
      </c>
      <c r="R13" s="6" t="s">
        <v>25</v>
      </c>
      <c r="S13" s="6">
        <v>0.70997900000000003</v>
      </c>
      <c r="T13" s="9">
        <v>0.70997900000000003</v>
      </c>
      <c r="U13" s="6" t="s">
        <v>37</v>
      </c>
    </row>
    <row r="14" spans="1:21" s="2" customFormat="1" x14ac:dyDescent="0.3">
      <c r="A14" s="6"/>
      <c r="B14" s="6"/>
      <c r="C14" s="7"/>
      <c r="D14" s="8"/>
      <c r="E14" s="7"/>
      <c r="F14" s="8"/>
      <c r="G14" s="6"/>
      <c r="H14" s="6"/>
      <c r="I14" s="6"/>
      <c r="J14" s="6"/>
      <c r="K14" s="6" t="s">
        <v>27</v>
      </c>
      <c r="L14" s="6">
        <v>0.92</v>
      </c>
      <c r="M14" s="6">
        <v>1.1299999999999999</v>
      </c>
      <c r="N14" s="12"/>
      <c r="O14" s="6">
        <v>0.06</v>
      </c>
      <c r="P14" s="6">
        <v>13</v>
      </c>
      <c r="Q14" s="6">
        <v>0.1</v>
      </c>
      <c r="R14" s="6" t="s">
        <v>25</v>
      </c>
      <c r="S14" s="6"/>
      <c r="T14" s="9"/>
      <c r="U14" s="6"/>
    </row>
  </sheetData>
  <mergeCells count="20">
    <mergeCell ref="D13:D14"/>
    <mergeCell ref="F13:F14"/>
    <mergeCell ref="N13:N14"/>
    <mergeCell ref="T13:T14"/>
    <mergeCell ref="D6:D7"/>
    <mergeCell ref="F6:F7"/>
    <mergeCell ref="N6:N7"/>
    <mergeCell ref="T6:T7"/>
    <mergeCell ref="D8:D9"/>
    <mergeCell ref="F8:F9"/>
    <mergeCell ref="N8:N9"/>
    <mergeCell ref="T8:T9"/>
    <mergeCell ref="D2:D3"/>
    <mergeCell ref="F2:F3"/>
    <mergeCell ref="N2:N3"/>
    <mergeCell ref="T2:T3"/>
    <mergeCell ref="D4:D5"/>
    <mergeCell ref="F4:F5"/>
    <mergeCell ref="N4:N5"/>
    <mergeCell ref="T4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2023-10-05T21:51:10Z</dcterms:created>
  <dcterms:modified xsi:type="dcterms:W3CDTF">2024-04-23T16:02:39Z</dcterms:modified>
</cp:coreProperties>
</file>